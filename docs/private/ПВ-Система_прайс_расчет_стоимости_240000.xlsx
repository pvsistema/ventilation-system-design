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D:\пв-система\"/>
    </mc:Choice>
  </mc:AlternateContent>
  <xr:revisionPtr revIDLastSave="0" documentId="8_{C1EBA081-D453-41D9-A431-5395503F9D40}" xr6:coauthVersionLast="45" xr6:coauthVersionMax="45" xr10:uidLastSave="{00000000-0000-0000-0000-000000000000}"/>
  <bookViews>
    <workbookView xWindow="-120" yWindow="-120" windowWidth="29040" windowHeight="15720" activeTab="3" xr2:uid="{00000000-000D-0000-FFFF-FFFF00000000}"/>
  </bookViews>
  <sheets>
    <sheet name="Прайс-лист" sheetId="1" r:id="rId1"/>
    <sheet name="Методика расчёта" sheetId="2" r:id="rId2"/>
    <sheet name="Калькулятор" sheetId="3" r:id="rId3"/>
    <sheet name="Примеры расчёта" sheetId="4" r:id="rId4"/>
  </sheets>
  <calcPr calcId="191029" fullCalcOnLoad="1"/>
</workbook>
</file>

<file path=xl/sharedStrings.xml><?xml version="1.0" encoding="utf-8"?>
<sst xmlns="http://schemas.openxmlformats.org/spreadsheetml/2006/main" count="172" uniqueCount="147">
  <si>
    <t xml:space="preserve">      ПРАЙС-ЛИСТ НА ПРОГРАММНЫЙ КОМПЛЕКС «ПВ-СИСТЕМА»</t>
  </si>
  <si>
    <t xml:space="preserve">      Проектирование вентиляции и водоснабжения горно-рудных предприятий · действует с 26.10.2026</t>
  </si>
  <si>
    <t>1. Сведения о программном обеспечении</t>
  </si>
  <si>
    <t>Наименование ПО</t>
  </si>
  <si>
    <t>Программный комплекс «ПВ-Система»</t>
  </si>
  <si>
    <t>Правообладатель</t>
  </si>
  <si>
    <t>ООО «ПВ-Система»</t>
  </si>
  <si>
    <t>Класс ПО</t>
  </si>
  <si>
    <t>Назначение</t>
  </si>
  <si>
    <t>Способ распространения</t>
  </si>
  <si>
    <t>Лицензионный ключ на рабочее место (ПК), передаётся в электронном виде</t>
  </si>
  <si>
    <t>Сайт программы</t>
  </si>
  <si>
    <t>пв-система.рф</t>
  </si>
  <si>
    <t>2. Стоимость лицензий</t>
  </si>
  <si>
    <t>Наименование позиции</t>
  </si>
  <si>
    <t>Ед. изм.</t>
  </si>
  <si>
    <t>Кол-во рабочих мест</t>
  </si>
  <si>
    <t>Цена за рабочее место, ₽</t>
  </si>
  <si>
    <t>Стоимость, ₽</t>
  </si>
  <si>
    <t>Лицензионный ключ «ПВ-Система» на одно рабочее место (ПК)</t>
  </si>
  <si>
    <t>лицензия</t>
  </si>
  <si>
    <t>Дополнительное рабочее место к лицензии «ПВ-Система» (за каждый ПК)</t>
  </si>
  <si>
    <t>пакет</t>
  </si>
  <si>
    <t>Индивидуальная лицензия — расчёт по протяжённости сети горных выработок и коэффициенту сложности</t>
  </si>
  <si>
    <t>по расчёту</t>
  </si>
  <si>
    <t>—</t>
  </si>
  <si>
    <t>см. лист «Калькулятор»</t>
  </si>
  <si>
    <t>3. В стоимость лицензии входит</t>
  </si>
  <si>
    <t>✓</t>
  </si>
  <si>
    <t>Установка и активация программного комплекса на рабочих местах заказчика</t>
  </si>
  <si>
    <t>Эксплуатационная документация пользователя на русском языке</t>
  </si>
  <si>
    <t>Техническая поддержка по телефону и электронной почте</t>
  </si>
  <si>
    <t>Обновления программного комплекса в течение срока действия лицензии</t>
  </si>
  <si>
    <t>4. Условия</t>
  </si>
  <si>
    <t>•  Цены указаны в российских рублях. НДС не облагается на основании подп. 26 п. 2 ст. 149 НК РФ (передача прав на ПО, включённое в Единый реестр российских программ).</t>
  </si>
  <si>
    <t>•  Обучение пользователей (курс 40 академических часов) оплачивается отдельно по договорённости.</t>
  </si>
  <si>
    <t>•  Лицензионный ключ передаётся в течение 3 рабочих дней после оплаты.</t>
  </si>
  <si>
    <t>•  Окончательная стоимость индивидуальной лицензии фиксируется в коммерческом предложении и лицензионном договоре.</t>
  </si>
  <si>
    <t>ООО «ПВ-Система» · Республика Башкортостан, г. Сибай, ул. Куйбышева, д. 20</t>
  </si>
  <si>
    <t>Тел.: +7 (960) 392-42-55, +7 (933) 044-70-17 · pvsistema@mail.ru · пв-система.рф</t>
  </si>
  <si>
    <t xml:space="preserve">      МЕТОДИКА РАСЧЁТА СТОИМОСТИ ЛИЦЕНЗИИ</t>
  </si>
  <si>
    <t xml:space="preserve">      Индивидуальный расчёт по параметрам горного предприятия</t>
  </si>
  <si>
    <t>Формула расчёта</t>
  </si>
  <si>
    <t xml:space="preserve">Стоимость = Базовая стоимость × Kпр × Kсл × Количество рабочих мест × (1 − Скидка)</t>
  </si>
  <si>
    <t>•  Базовая стоимость — 240 000 ₽ (лицензия на 1 рабочее место, сеть горных выработок до 50 км, категория сложности I).</t>
  </si>
  <si>
    <t>•  Kпр — коэффициент протяжённости сети горных выработок (таблица 1).</t>
  </si>
  <si>
    <t>•  Kсл — коэффициент сложности вентиляционной сети (таблица 2).</t>
  </si>
  <si>
    <t xml:space="preserve">•  Количество рабочих мест — число компьютеров, на которых будет работать программа; Скидка — по количеству рабочих мест (таблица 3).</t>
  </si>
  <si>
    <t>Таблица 1. Коэффициент протяжённости сети горных выработок (Kпр)</t>
  </si>
  <si>
    <t>Протяжённость сети, км</t>
  </si>
  <si>
    <t>Описание</t>
  </si>
  <si>
    <t>От, км</t>
  </si>
  <si>
    <t>До, км</t>
  </si>
  <si>
    <t>Kпр</t>
  </si>
  <si>
    <t>до 50 км</t>
  </si>
  <si>
    <t>Небольшой рудник, один-два участка</t>
  </si>
  <si>
    <t>50–100 км</t>
  </si>
  <si>
    <t>Средний рудник</t>
  </si>
  <si>
    <t>100–200 км</t>
  </si>
  <si>
    <t>Крупный рудник</t>
  </si>
  <si>
    <t>200–350 км</t>
  </si>
  <si>
    <t>Рудник с несколькими шахтными полями</t>
  </si>
  <si>
    <t>свыше 350 км</t>
  </si>
  <si>
    <t>Горно-обогатительный комбинат, объединённая сеть</t>
  </si>
  <si>
    <t>Таблица 2. Коэффициент сложности вентиляционной сети (Kсл)</t>
  </si>
  <si>
    <t>Категория сложности</t>
  </si>
  <si>
    <t>Характерные признаки сети</t>
  </si>
  <si>
    <t>Кол-во ветвей</t>
  </si>
  <si>
    <t>Вентиляторы главного проветривания</t>
  </si>
  <si>
    <t>Kсл</t>
  </si>
  <si>
    <t>I — простая</t>
  </si>
  <si>
    <t>Один горизонт, одна вентиляторная установка, без пожарно-оросительного трубопровода</t>
  </si>
  <si>
    <t>до 500</t>
  </si>
  <si>
    <t>1</t>
  </si>
  <si>
    <t>II — средняя</t>
  </si>
  <si>
    <t>2–3 горизонта, несколько стволов, пожарно-оросительный трубопровод</t>
  </si>
  <si>
    <t>500–1 500</t>
  </si>
  <si>
    <t>1–2</t>
  </si>
  <si>
    <t>III — сложная</t>
  </si>
  <si>
    <t>Многогоризонтная сеть, участковые вентиляторы, диагонали, естественная тяга</t>
  </si>
  <si>
    <t>1 500–3 000</t>
  </si>
  <si>
    <t>2–3</t>
  </si>
  <si>
    <t>IV — особо сложная</t>
  </si>
  <si>
    <t>Несколько шахтных полей, связанные сети, глубокие горизонты, повышенные требования ПЛА</t>
  </si>
  <si>
    <t>свыше 3 000</t>
  </si>
  <si>
    <t>4 и более</t>
  </si>
  <si>
    <t>Категория сложности определяется по совокупности признаков на основании схемы вентиляции рудника, предоставленной заказчиком. При несовпадении признаков принимается более высокая категория.</t>
  </si>
  <si>
    <t xml:space="preserve">      КАЛЬКУЛЯТОР СТОИМОСТИ ЛИЦЕНЗИИ</t>
  </si>
  <si>
    <t xml:space="preserve">      Заполните поля, выделенные жёлтым — расчёт выполнится автоматически</t>
  </si>
  <si>
    <t>Исходные данные предприятия</t>
  </si>
  <si>
    <t>Наименование предприятия</t>
  </si>
  <si>
    <t>Рудник (пример)</t>
  </si>
  <si>
    <t>Протяжённость сети горных выработок, км</t>
  </si>
  <si>
    <t>Суммарная длина выработок по схеме вентиляции</t>
  </si>
  <si>
    <t>Категория сложности сети</t>
  </si>
  <si>
    <t>Выбор из списка, см. «Методика расчёта», табл. 2</t>
  </si>
  <si>
    <t>Количество рабочих мест</t>
  </si>
  <si>
    <t>Компьютеры, на которых будет работать программа</t>
  </si>
  <si>
    <t>Расчёт</t>
  </si>
  <si>
    <t>Показатель</t>
  </si>
  <si>
    <t>Значение</t>
  </si>
  <si>
    <t>Базовая стоимость (1 место, до 50 км, категория I)</t>
  </si>
  <si>
    <t>Коэффициент протяжённости Kпр</t>
  </si>
  <si>
    <t>Коэффициент сложности Kсл</t>
  </si>
  <si>
    <t>Стоимость одного рабочего места (база × Kпр × Kсл)</t>
  </si>
  <si>
    <t>Дополнительные рабочие места сверх 1</t>
  </si>
  <si>
    <t>Стоимость доп. рабочих мест (× база × Kпр × Kсл)</t>
  </si>
  <si>
    <t>ИТОГО СТОИМОСТЬ ЛИЦЕНЗИИ</t>
  </si>
  <si>
    <t>Средняя стоимость одного рабочего места</t>
  </si>
  <si>
    <t>НДС</t>
  </si>
  <si>
    <t>не облагается (подп. 26 п. 2 ст. 149 НК РФ)</t>
  </si>
  <si>
    <t>Расчёт носит предварительный характер. Окончательная стоимость фиксируется в коммерческом предложении после анализа схемы вентиляции предприятия.</t>
  </si>
  <si>
    <t xml:space="preserve">      ПРИМЕРЫ РАСЧЁТА ДЛЯ ТИПОВЫХ ПРЕДПРИЯТИЙ</t>
  </si>
  <si>
    <t xml:space="preserve">      Иллюстрация применения методики · все значения рассчитываются формулами</t>
  </si>
  <si>
    <t>Типовые варианты лицензирования</t>
  </si>
  <si>
    <t>Тип предприятия</t>
  </si>
  <si>
    <t>Протяжённость, км</t>
  </si>
  <si>
    <t>Рабочих мест</t>
  </si>
  <si>
    <t xml:space="preserve">Скидка за места</t>
  </si>
  <si>
    <t>Итого, ₽</t>
  </si>
  <si>
    <t>Небольшой рудник</t>
  </si>
  <si>
    <t>Горно-обогатительный комбинат</t>
  </si>
  <si>
    <t>Сравнение: стандартные позиции прайс-листа</t>
  </si>
  <si>
    <t xml:space="preserve">Вариант (без коэффициентов, сеть до 50 км, категория I)</t>
  </si>
  <si>
    <t xml:space="preserve">Цена за место со скидкой, ₽</t>
  </si>
  <si>
    <t xml:space="preserve">Лицензия на 1 рабочее место</t>
  </si>
  <si>
    <t xml:space="preserve">Лицензии на 5 рабочих мест</t>
  </si>
  <si>
    <t>Примеры приведены для иллюстрации методики и не являются публичной офертой.</t>
  </si>
  <si>
    <t>Средства инженерного проектирования и расчётов (CAD)</t>
  </si>
  <si>
    <t>Проектирование вентиляции и водоснабжения рудников</t>
  </si>
  <si>
    <t xml:space="preserve">Таблица 3. Скидка за количество рабочих мест</t>
  </si>
  <si>
    <t xml:space="preserve">Количество рабочих мест</t>
  </si>
  <si>
    <t xml:space="preserve">От, мест</t>
  </si>
  <si>
    <t xml:space="preserve">До, мест</t>
  </si>
  <si>
    <t xml:space="preserve">Скидка</t>
  </si>
  <si>
    <t xml:space="preserve">1–9</t>
  </si>
  <si>
    <t xml:space="preserve">Стандартная цена</t>
  </si>
  <si>
    <t xml:space="preserve">10–14</t>
  </si>
  <si>
    <t xml:space="preserve">Крупное предприятие</t>
  </si>
  <si>
    <t xml:space="preserve">15 и более</t>
  </si>
  <si>
    <t xml:space="preserve">Горно-обогатительный комбинат, группа рудников</t>
  </si>
  <si>
    <t xml:space="preserve">Количество рабочих мест</t>
  </si>
  <si>
    <t xml:space="preserve">Стоимость без скидки (стоимость места × количество мест)</t>
  </si>
  <si>
    <t xml:space="preserve">Скидка за количество мест (табл. 3 методики)</t>
  </si>
  <si>
    <t xml:space="preserve">Лицензии на 10 рабочих мест (скидка 10%)</t>
  </si>
  <si>
    <t xml:space="preserve">Лицензии на 15 рабочих мест (скидка 20%)</t>
  </si>
  <si>
    <t xml:space="preserve">•  Скидка за количество рабочих мест: от 10 мест — 10%, от 15 мест — 20% (см. «Методика расчёта», табл. 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</si>
</sst>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₽&quot;"/>
    <numFmt numFmtId="165" formatCode="0.0"/>
  </numFmts>
  <fonts count="14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sz val="10"/>
      <color rgb="FF93C5FD"/>
      <name val="Arial"/>
    </font>
    <font>
      <b/>
      <sz val="12"/>
      <color rgb="FF0E63B0"/>
      <name val="Arial"/>
    </font>
    <font>
      <b/>
      <sz val="10"/>
      <color rgb="FF0D1F35"/>
      <name val="Arial"/>
    </font>
    <font>
      <sz val="10"/>
      <color rgb="FF0D1F35"/>
      <name val="Arial"/>
    </font>
    <font>
      <b/>
      <sz val="10"/>
      <color rgb="FFFFFFFF"/>
      <name val="Arial"/>
    </font>
    <font>
      <b/>
      <sz val="10"/>
      <color rgb="FF0E63B0"/>
      <name val="Arial"/>
    </font>
    <font>
      <b/>
      <sz val="11"/>
      <color rgb="FF0E63B0"/>
      <name val="Arial"/>
    </font>
    <font>
      <sz val="9"/>
      <color rgb="FF5A6E82"/>
      <name val="Arial"/>
    </font>
    <font>
      <b/>
      <sz val="13"/>
      <color rgb="FF0E63B0"/>
      <name val="Arial"/>
    </font>
    <font>
      <i/>
      <sz val="9"/>
      <color rgb="FF5A6E82"/>
      <name val="Arial"/>
    </font>
    <font>
      <b/>
      <sz val="12"/>
      <color rgb="FFFFFFFF"/>
      <name val="Arial"/>
    </font>
    <font>
      <b/>
      <sz val="14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0D1F35"/>
      </patternFill>
    </fill>
    <fill>
      <patternFill patternType="solid">
        <fgColor rgb="FF0E63B0"/>
      </patternFill>
    </fill>
    <fill>
      <patternFill patternType="solid">
        <fgColor rgb="FFE8F4FD"/>
      </patternFill>
    </fill>
    <fill>
      <patternFill patternType="solid">
        <fgColor rgb="FFF4F7FB"/>
      </patternFill>
    </fill>
    <fill>
      <patternFill patternType="solid">
        <fgColor rgb="FFFFF7D6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E63B0"/>
      </bottom>
      <diagonal/>
    </border>
    <border>
      <left style="thin">
        <color rgb="FFBFD3E6"/>
      </left>
      <right style="thin">
        <color rgb="FFBFD3E6"/>
      </right>
      <top style="thin">
        <color rgb="FFBFD3E6"/>
      </top>
      <bottom style="thin">
        <color rgb="FFBFD3E6"/>
      </bottom>
      <diagonal/>
    </border>
    <border>
      <left/>
      <right/>
      <top style="thin">
        <color rgb="FFBFD3E6"/>
      </top>
      <bottom style="thin">
        <color rgb="FFBFD3E6"/>
      </bottom>
      <diagonal/>
    </border>
    <border>
      <left/>
      <right style="thin">
        <color rgb="FFBFD3E6"/>
      </right>
      <top style="thin">
        <color rgb="FFBFD3E6"/>
      </top>
      <bottom style="thin">
        <color rgb="FFBFD3E6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2" borderId="0" xfId="0" applyFill="1"/>
    <xf numFmtId="0" fontId="0" fillId="3" borderId="0" xfId="0" applyFill="1"/>
    <xf numFmtId="0" fontId="4" fillId="4" borderId="2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right" vertical="center"/>
    </xf>
    <xf numFmtId="0" fontId="5" fillId="5" borderId="2" xfId="0" applyFont="1" applyFill="1" applyBorder="1" applyAlignment="1">
      <alignment vertical="center" wrapText="1"/>
    </xf>
    <xf numFmtId="0" fontId="5" fillId="5" borderId="2" xfId="0" applyFont="1" applyFill="1" applyBorder="1" applyAlignment="1">
      <alignment horizontal="center" vertical="center" wrapText="1"/>
    </xf>
    <xf numFmtId="164" fontId="5" fillId="5" borderId="2" xfId="0" applyNumberFormat="1" applyFont="1" applyFill="1" applyBorder="1" applyAlignment="1">
      <alignment horizontal="right" vertical="center"/>
    </xf>
    <xf numFmtId="0" fontId="7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right"/>
    </xf>
    <xf numFmtId="2" fontId="5" fillId="0" borderId="2" xfId="0" applyNumberFormat="1" applyFont="1" applyBorder="1" applyAlignment="1">
      <alignment horizontal="center" vertical="center" wrapText="1"/>
    </xf>
    <xf numFmtId="2" fontId="5" fillId="5" borderId="2" xfId="0" applyNumberFormat="1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165" fontId="8" fillId="6" borderId="2" xfId="0" applyNumberFormat="1" applyFont="1" applyFill="1" applyBorder="1" applyAlignment="1">
      <alignment horizontal="center" vertical="center" wrapText="1"/>
    </xf>
    <xf numFmtId="1" fontId="8" fillId="6" borderId="2" xfId="0" applyNumberFormat="1" applyFont="1" applyFill="1" applyBorder="1" applyAlignment="1">
      <alignment horizontal="center" vertical="center" wrapText="1"/>
    </xf>
    <xf numFmtId="0" fontId="12" fillId="3" borderId="2" xfId="0" applyFont="1" applyFill="1" applyBorder="1"/>
    <xf numFmtId="1" fontId="5" fillId="0" borderId="2" xfId="0" applyNumberFormat="1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right" vertical="center"/>
    </xf>
    <xf numFmtId="1" fontId="5" fillId="5" borderId="2" xfId="0" applyNumberFormat="1" applyFont="1" applyFill="1" applyBorder="1" applyAlignment="1">
      <alignment horizontal="center" vertical="center" wrapText="1"/>
    </xf>
    <xf numFmtId="164" fontId="7" fillId="5" borderId="2" xfId="0" applyNumberFormat="1" applyFont="1" applyFill="1" applyBorder="1" applyAlignment="1">
      <alignment horizontal="right" vertical="center"/>
    </xf>
    <xf numFmtId="0" fontId="5" fillId="0" borderId="0" xfId="0" applyFont="1"/>
    <xf numFmtId="0" fontId="0" fillId="0" borderId="0" xfId="0"/>
    <xf numFmtId="0" fontId="5" fillId="0" borderId="0" xfId="0" applyFont="1" applyAlignment="1">
      <alignment vertical="top"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/>
    <xf numFmtId="0" fontId="3" fillId="0" borderId="1" xfId="0" applyFont="1" applyBorder="1"/>
    <xf numFmtId="0" fontId="0" fillId="0" borderId="1" xfId="0" applyBorder="1"/>
    <xf numFmtId="0" fontId="9" fillId="5" borderId="0" xfId="0" applyFont="1" applyFill="1" applyAlignment="1">
      <alignment horizontal="center" vertical="center"/>
    </xf>
    <xf numFmtId="0" fontId="0" fillId="5" borderId="0" xfId="0" applyFill="1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top"/>
    </xf>
    <xf numFmtId="0" fontId="10" fillId="4" borderId="0" xfId="0" applyFont="1" applyFill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164" fontId="4" fillId="0" borderId="2" xfId="0" applyNumberFormat="1" applyFont="1" applyBorder="1" applyAlignment="1">
      <alignment horizontal="right" vertical="center"/>
    </xf>
    <xf numFmtId="0" fontId="6" fillId="3" borderId="2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1" fillId="0" borderId="0" xfId="0" applyFont="1" applyAlignment="1">
      <alignment vertical="center" wrapText="1"/>
    </xf>
    <xf numFmtId="49" fontId="4" fillId="0" borderId="2" xfId="0" applyNumberFormat="1" applyFont="1" applyBorder="1" applyAlignment="1">
      <alignment horizontal="right" vertical="center"/>
    </xf>
    <xf numFmtId="1" fontId="4" fillId="0" borderId="2" xfId="0" applyNumberFormat="1" applyFont="1" applyBorder="1" applyAlignment="1">
      <alignment horizontal="right" vertical="center"/>
    </xf>
    <xf numFmtId="2" fontId="4" fillId="0" borderId="2" xfId="0" applyNumberFormat="1" applyFont="1" applyBorder="1" applyAlignment="1">
      <alignment horizontal="right" vertical="center"/>
    </xf>
    <xf numFmtId="164" fontId="13" fillId="3" borderId="2" xfId="0" applyNumberFormat="1" applyFont="1" applyFill="1" applyBorder="1" applyAlignment="1">
      <alignment horizontal="right" vertical="center"/>
    </xf>
    <xf numFmtId="0" fontId="0" fillId="3" borderId="2" xfId="0" applyFill="1" applyBorder="1"/>
    <xf numFmtId="0" fontId="5" fillId="5" borderId="2" xfId="0" applyFont="1" applyFill="1" applyBorder="1" applyAlignment="1">
      <alignment vertical="center" wrapText="1"/>
    </xf>
    <xf numFmtId="9" fontId="5" fillId="0" borderId="2" xfId="0" applyNumberFormat="1" applyFont="1" applyBorder="1" applyAlignment="1">
      <alignment horizontal="center" vertical="center" wrapText="1"/>
    </xf>
    <xf numFmtId="9" fontId="5" fillId="5" borderId="2" xfId="0" applyNumberFormat="1" applyFont="1" applyFill="1" applyBorder="1" applyAlignment="1">
      <alignment horizontal="center" vertical="center" wrapText="1"/>
    </xf>
    <xf numFmtId="9" fontId="4" fillId="0" borderId="2" xfId="0" applyNumberFormat="1" applyFont="1" applyBorder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19100" cy="4191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63B0"/>
    <pageSetUpPr fitToPage="1"/>
  </sheetPr>
  <dimension ref="A1:E34"/>
  <sheetViews>
    <sheetView showGridLines="0" topLeftCell="A13" workbookViewId="0">
      <selection activeCell="B2" sqref="B2:E2"/>
    </sheetView>
  </sheetViews>
  <sheetFormatPr defaultRowHeight="15" x14ac:dyDescent="0.25"/>
  <cols>
    <col min="1" max="1" width="46" customWidth="1"/>
    <col min="2" max="2" width="16" customWidth="1"/>
    <col min="3" max="3" width="14" customWidth="1"/>
    <col min="4" max="5" width="22" customWidth="1"/>
  </cols>
  <sheetData>
    <row r="1" spans="1:5" ht="13.9" customHeight="1" x14ac:dyDescent="0.25">
      <c r="A1" s="1"/>
      <c r="B1" s="1"/>
      <c r="C1" s="1"/>
      <c r="D1" s="1"/>
      <c r="E1" s="1"/>
    </row>
    <row r="2" spans="1:5" ht="34.15" customHeight="1" x14ac:dyDescent="0.25">
      <c r="A2" s="1"/>
      <c r="B2" s="32" t="s">
        <v>0</v>
      </c>
      <c r="C2" s="24"/>
      <c r="D2" s="24"/>
      <c r="E2" s="24"/>
    </row>
    <row r="3" spans="1:5" ht="22.15" customHeight="1" x14ac:dyDescent="0.25">
      <c r="A3" s="1"/>
      <c r="B3" s="33" t="s">
        <v>1</v>
      </c>
      <c r="C3" s="24"/>
      <c r="D3" s="24"/>
      <c r="E3" s="24"/>
    </row>
    <row r="4" spans="1:5" ht="4.1500000000000004" customHeight="1" x14ac:dyDescent="0.25">
      <c r="A4" s="2"/>
      <c r="B4" s="2"/>
      <c r="C4" s="2"/>
      <c r="D4" s="2"/>
      <c r="E4" s="2"/>
    </row>
    <row r="6" spans="1:5" ht="24" customHeight="1" x14ac:dyDescent="0.25">
      <c r="A6" s="28" t="s">
        <v>2</v>
      </c>
      <c r="B6" s="29"/>
      <c r="C6" s="29"/>
      <c r="D6" s="29"/>
      <c r="E6" s="29"/>
    </row>
    <row r="7" spans="1:5" ht="19.899999999999999" customHeight="1" x14ac:dyDescent="0.25">
      <c r="A7" s="3" t="s">
        <v>3</v>
      </c>
      <c r="B7" s="26" t="s">
        <v>4</v>
      </c>
      <c r="C7" s="27"/>
      <c r="D7" s="27"/>
      <c r="E7" s="27"/>
    </row>
    <row r="8" spans="1:5" ht="19.899999999999999" customHeight="1" x14ac:dyDescent="0.25">
      <c r="A8" s="3" t="s">
        <v>5</v>
      </c>
      <c r="B8" s="26" t="s">
        <v>6</v>
      </c>
      <c r="C8" s="27"/>
      <c r="D8" s="27"/>
      <c r="E8" s="27"/>
    </row>
    <row r="9" spans="1:5" ht="19.899999999999999" customHeight="1" x14ac:dyDescent="0.25">
      <c r="A9" s="3" t="s">
        <v>7</v>
      </c>
      <c r="B9" s="26" t="s">
        <v>128</v>
      </c>
      <c r="C9" s="27"/>
      <c r="D9" s="27"/>
      <c r="E9" s="27"/>
    </row>
    <row r="10" spans="1:5" x14ac:dyDescent="0.25">
      <c r="A10" s="3" t="s">
        <v>8</v>
      </c>
      <c r="B10" s="26" t="s">
        <v>129</v>
      </c>
      <c r="C10" s="27"/>
      <c r="D10" s="27"/>
      <c r="E10" s="27"/>
    </row>
    <row r="11" spans="1:5" ht="19.899999999999999" customHeight="1" x14ac:dyDescent="0.25">
      <c r="A11" s="3" t="s">
        <v>9</v>
      </c>
      <c r="B11" s="26" t="s">
        <v>10</v>
      </c>
      <c r="C11" s="27"/>
      <c r="D11" s="27"/>
      <c r="E11" s="27"/>
    </row>
    <row r="12" spans="1:5" ht="19.899999999999999" customHeight="1" x14ac:dyDescent="0.25">
      <c r="A12" s="3" t="s">
        <v>11</v>
      </c>
      <c r="B12" s="26" t="s">
        <v>12</v>
      </c>
      <c r="C12" s="27"/>
      <c r="D12" s="27"/>
      <c r="E12" s="27"/>
    </row>
    <row r="14" spans="1:5" ht="24" customHeight="1" x14ac:dyDescent="0.25">
      <c r="A14" s="28" t="s">
        <v>13</v>
      </c>
      <c r="B14" s="29"/>
      <c r="C14" s="29"/>
      <c r="D14" s="29"/>
      <c r="E14" s="29"/>
    </row>
    <row r="15" spans="1:5" ht="30" customHeight="1" x14ac:dyDescent="0.25">
      <c r="A15" s="5" t="s">
        <v>14</v>
      </c>
      <c r="B15" s="5" t="s">
        <v>15</v>
      </c>
      <c r="C15" s="5" t="s">
        <v>16</v>
      </c>
      <c r="D15" s="5" t="s">
        <v>17</v>
      </c>
      <c r="E15" s="5" t="s">
        <v>18</v>
      </c>
    </row>
    <row r="16" spans="1:5" ht="31.9" customHeight="1" x14ac:dyDescent="0.25">
      <c r="A16" s="4" t="s">
        <v>19</v>
      </c>
      <c r="B16" s="6" t="s">
        <v>20</v>
      </c>
      <c r="C16" s="6">
        <v>1</v>
      </c>
      <c r="D16" s="7">
        <v>240000</v>
      </c>
      <c r="E16" s="7">
        <f>C16*D16</f>
        <v>240000</v>
      </c>
    </row>
    <row r="17" spans="1:5" ht="31.9" customHeight="1" x14ac:dyDescent="0.25">
      <c r="A17" s="8" t="s">
        <v>21</v>
      </c>
      <c r="B17" s="9" t="s">
        <v>20</v>
      </c>
      <c r="C17" s="9">
        <v>1</v>
      </c>
      <c r="D17" s="10">
        <v>240000</v>
      </c>
      <c r="E17" s="10">
        <f>C17*D17</f>
        <v>240000</v>
      </c>
    </row>
    <row r="18" spans="1:5" ht="43.9" customHeight="1" x14ac:dyDescent="0.25">
      <c r="A18" s="4" t="s">
        <v>23</v>
      </c>
      <c r="B18" s="6" t="s">
        <v>20</v>
      </c>
      <c r="C18" s="6" t="s">
        <v>24</v>
      </c>
      <c r="D18" s="6" t="s">
        <v>25</v>
      </c>
      <c r="E18" s="11" t="s">
        <v>26</v>
      </c>
    </row>
    <row r="20" spans="1:5" ht="24" customHeight="1" x14ac:dyDescent="0.25">
      <c r="A20" s="28" t="s">
        <v>27</v>
      </c>
      <c r="B20" s="29"/>
      <c r="C20" s="29"/>
      <c r="D20" s="29"/>
      <c r="E20" s="29"/>
    </row>
    <row r="21" spans="1:5" x14ac:dyDescent="0.25">
      <c r="A21" s="12" t="s">
        <v>28</v>
      </c>
      <c r="B21" s="23" t="s">
        <v>29</v>
      </c>
      <c r="C21" s="24"/>
      <c r="D21" s="24"/>
      <c r="E21" s="24"/>
    </row>
    <row r="22" spans="1:5" x14ac:dyDescent="0.25">
      <c r="A22" s="12" t="s">
        <v>28</v>
      </c>
      <c r="B22" s="23" t="s">
        <v>30</v>
      </c>
      <c r="C22" s="24"/>
      <c r="D22" s="24"/>
      <c r="E22" s="24"/>
    </row>
    <row r="23" spans="1:5" x14ac:dyDescent="0.25">
      <c r="A23" s="12" t="s">
        <v>28</v>
      </c>
      <c r="B23" s="23" t="s">
        <v>31</v>
      </c>
      <c r="C23" s="24"/>
      <c r="D23" s="24"/>
      <c r="E23" s="24"/>
    </row>
    <row r="24" spans="1:5" x14ac:dyDescent="0.25">
      <c r="A24" s="12" t="s">
        <v>28</v>
      </c>
      <c r="B24" s="23" t="s">
        <v>32</v>
      </c>
      <c r="C24" s="24"/>
      <c r="D24" s="24"/>
      <c r="E24" s="24"/>
    </row>
    <row r="26" spans="1:5" ht="24" customHeight="1" x14ac:dyDescent="0.25">
      <c r="A26" s="28" t="s">
        <v>33</v>
      </c>
      <c r="B26" s="29"/>
      <c r="C26" s="29"/>
      <c r="D26" s="29"/>
      <c r="E26" s="29"/>
    </row>
    <row r="27" spans="1:5" ht="30" customHeight="1" x14ac:dyDescent="0.25">
      <c r="A27" s="25" t="s">
        <v>34</v>
      </c>
      <c r="B27" s="24"/>
      <c r="C27" s="24"/>
      <c r="D27" s="24"/>
      <c r="E27" s="24"/>
    </row>
    <row r="28" spans="1:5" ht="30" customHeight="1" x14ac:dyDescent="0.25">
      <c r="A28" s="25" t="s">
        <v>35</v>
      </c>
      <c r="B28" s="24"/>
      <c r="C28" s="24"/>
      <c r="D28" s="24"/>
      <c r="E28" s="24"/>
    </row>
    <row r="29" spans="1:5" ht="30" customHeight="1" x14ac:dyDescent="0.25">
      <c r="A29" s="25" t="s">
        <v>36</v>
      </c>
      <c r="B29" s="24"/>
      <c r="C29" s="24"/>
      <c r="D29" s="24"/>
      <c r="E29" s="24"/>
    </row>
    <row r="30" spans="1:5" ht="30" customHeight="1" x14ac:dyDescent="0.25">
      <c r="A30" s="25" t="s">
        <v>37</v>
      </c>
      <c r="B30" s="24"/>
      <c r="C30" s="24"/>
      <c r="D30" s="24"/>
      <c r="E30" s="24"/>
    </row>
    <row r="31" spans="1:5" ht="30" customHeight="1" x14ac:dyDescent="0.25">
      <c r="A31" s="25" t="s">
        <v>146</v>
      </c>
      <c r="B31" s="24"/>
      <c r="C31" s="24"/>
      <c r="D31" s="24"/>
      <c r="E31" s="24"/>
    </row>
    <row r="33" spans="1:5" x14ac:dyDescent="0.25">
      <c r="A33" s="30" t="s">
        <v>38</v>
      </c>
      <c r="B33" s="31"/>
      <c r="C33" s="31"/>
      <c r="D33" s="31"/>
      <c r="E33" s="31"/>
    </row>
    <row r="34" spans="1:5" x14ac:dyDescent="0.25">
      <c r="A34" s="30" t="s">
        <v>39</v>
      </c>
      <c r="B34" s="31"/>
      <c r="C34" s="31"/>
      <c r="D34" s="31"/>
      <c r="E34" s="31"/>
    </row>
  </sheetData>
  <mergeCells count="23">
    <mergeCell ref="B11:E11"/>
    <mergeCell ref="B2:E2"/>
    <mergeCell ref="A14:E14"/>
    <mergeCell ref="B23:E23"/>
    <mergeCell ref="A29:E29"/>
    <mergeCell ref="B8:E8"/>
    <mergeCell ref="A20:E20"/>
    <mergeCell ref="A28:E28"/>
    <mergeCell ref="B10:E10"/>
    <mergeCell ref="B3:E3"/>
    <mergeCell ref="B22:E22"/>
    <mergeCell ref="A27:E27"/>
    <mergeCell ref="A26:E26"/>
    <mergeCell ref="B12:E12"/>
    <mergeCell ref="B21:E21"/>
    <mergeCell ref="A30:E30"/>
    <mergeCell ref="B9:E9"/>
    <mergeCell ref="B24:E24"/>
    <mergeCell ref="A6:E6"/>
    <mergeCell ref="B7:E7"/>
    <mergeCell ref="A31:E31"/>
    <mergeCell ref="A33:E33"/>
    <mergeCell ref="A34:E34"/>
  </mergeCells>
  <printOptions horizontalCentered="1"/>
  <pageMargins left="0.75" right="0.75" top="1" bottom="1" header="0.5" footer="0.5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E63B0"/>
    <pageSetUpPr fitToPage="1"/>
  </sheetPr>
  <dimension ref="A1:E37"/>
  <sheetViews>
    <sheetView showGridLines="0" topLeftCell="A10" workbookViewId="0"/>
  </sheetViews>
  <sheetFormatPr defaultRowHeight="15" x14ac:dyDescent="0.25"/>
  <cols>
    <col min="1" max="1" width="30" customWidth="1"/>
    <col min="2" max="2" width="40" customWidth="1"/>
    <col min="3" max="5" width="18" customWidth="1"/>
  </cols>
  <sheetData>
    <row r="1" spans="1:5" ht="13.9" customHeight="1" x14ac:dyDescent="0.25">
      <c r="A1" s="1"/>
      <c r="B1" s="1"/>
      <c r="C1" s="1"/>
      <c r="D1" s="1"/>
      <c r="E1" s="1"/>
    </row>
    <row r="2" spans="1:5" ht="34.15" customHeight="1" x14ac:dyDescent="0.25">
      <c r="A2" s="1"/>
      <c r="B2" s="32" t="s">
        <v>40</v>
      </c>
      <c r="C2" s="24"/>
      <c r="D2" s="24"/>
      <c r="E2" s="24"/>
    </row>
    <row r="3" spans="1:5" ht="22.15" customHeight="1" x14ac:dyDescent="0.25">
      <c r="A3" s="1"/>
      <c r="B3" s="33" t="s">
        <v>41</v>
      </c>
      <c r="C3" s="24"/>
      <c r="D3" s="24"/>
      <c r="E3" s="24"/>
    </row>
    <row r="4" spans="1:5" ht="4.1500000000000004" customHeight="1" x14ac:dyDescent="0.25">
      <c r="A4" s="2"/>
      <c r="B4" s="2"/>
      <c r="C4" s="2"/>
      <c r="D4" s="2"/>
      <c r="E4" s="2"/>
    </row>
    <row r="6" spans="1:5" ht="24" customHeight="1" x14ac:dyDescent="0.25">
      <c r="A6" s="28" t="s">
        <v>42</v>
      </c>
      <c r="B6" s="29"/>
      <c r="C6" s="29"/>
      <c r="D6" s="29"/>
      <c r="E6" s="29"/>
    </row>
    <row r="7" spans="1:5" ht="40.15" customHeight="1" x14ac:dyDescent="0.25">
      <c r="A7" s="34" t="s">
        <v>43</v>
      </c>
      <c r="B7" s="24"/>
      <c r="C7" s="24"/>
      <c r="D7" s="24"/>
      <c r="E7" s="24"/>
    </row>
    <row r="8" spans="1:5" ht="19.899999999999999" customHeight="1" x14ac:dyDescent="0.25">
      <c r="A8" s="25" t="s">
        <v>44</v>
      </c>
      <c r="B8" s="24"/>
      <c r="C8" s="24"/>
      <c r="D8" s="24"/>
      <c r="E8" s="24"/>
    </row>
    <row r="9" spans="1:5" ht="19.899999999999999" customHeight="1" x14ac:dyDescent="0.25">
      <c r="A9" s="25" t="s">
        <v>45</v>
      </c>
      <c r="B9" s="24"/>
      <c r="C9" s="24"/>
      <c r="D9" s="24"/>
      <c r="E9" s="24"/>
    </row>
    <row r="10" spans="1:5" ht="19.899999999999999" customHeight="1" x14ac:dyDescent="0.25">
      <c r="A10" s="25" t="s">
        <v>46</v>
      </c>
      <c r="B10" s="24"/>
      <c r="C10" s="24"/>
      <c r="D10" s="24"/>
      <c r="E10" s="24"/>
    </row>
    <row r="11" spans="1:5" ht="19.899999999999999" customHeight="1" x14ac:dyDescent="0.25">
      <c r="A11" s="25" t="s">
        <v>47</v>
      </c>
      <c r="B11" s="24"/>
      <c r="C11" s="24"/>
      <c r="D11" s="24"/>
      <c r="E11" s="24"/>
    </row>
    <row r="13" spans="1:5" ht="24" customHeight="1" x14ac:dyDescent="0.25">
      <c r="A13" s="28" t="s">
        <v>48</v>
      </c>
      <c r="B13" s="29"/>
      <c r="C13" s="29"/>
      <c r="D13" s="29"/>
      <c r="E13" s="29"/>
    </row>
    <row r="14" spans="1:5" ht="30" customHeight="1" x14ac:dyDescent="0.25">
      <c r="A14" s="5" t="s">
        <v>49</v>
      </c>
      <c r="B14" s="5" t="s">
        <v>50</v>
      </c>
      <c r="C14" s="5" t="s">
        <v>51</v>
      </c>
      <c r="D14" s="5" t="s">
        <v>52</v>
      </c>
      <c r="E14" s="5" t="s">
        <v>53</v>
      </c>
    </row>
    <row r="15" spans="1:5" x14ac:dyDescent="0.25">
      <c r="A15" s="4" t="s">
        <v>54</v>
      </c>
      <c r="B15" s="4" t="s">
        <v>55</v>
      </c>
      <c r="C15" s="6">
        <v>0</v>
      </c>
      <c r="D15" s="6">
        <v>50</v>
      </c>
      <c r="E15" s="13">
        <v>1</v>
      </c>
    </row>
    <row r="16" spans="1:5" x14ac:dyDescent="0.25">
      <c r="A16" s="8" t="s">
        <v>56</v>
      </c>
      <c r="B16" s="8" t="s">
        <v>57</v>
      </c>
      <c r="C16" s="9">
        <v>50</v>
      </c>
      <c r="D16" s="9">
        <v>100</v>
      </c>
      <c r="E16" s="14">
        <v>1.3</v>
      </c>
    </row>
    <row r="17" spans="1:5" x14ac:dyDescent="0.25">
      <c r="A17" s="4" t="s">
        <v>58</v>
      </c>
      <c r="B17" s="4" t="s">
        <v>59</v>
      </c>
      <c r="C17" s="6">
        <v>100</v>
      </c>
      <c r="D17" s="6">
        <v>200</v>
      </c>
      <c r="E17" s="13">
        <v>1.6</v>
      </c>
    </row>
    <row r="18" spans="1:5" x14ac:dyDescent="0.25">
      <c r="A18" s="8" t="s">
        <v>60</v>
      </c>
      <c r="B18" s="8" t="s">
        <v>61</v>
      </c>
      <c r="C18" s="9">
        <v>200</v>
      </c>
      <c r="D18" s="9">
        <v>350</v>
      </c>
      <c r="E18" s="14">
        <v>2</v>
      </c>
    </row>
    <row r="19" spans="1:5" ht="25.5" x14ac:dyDescent="0.25">
      <c r="A19" s="4" t="s">
        <v>62</v>
      </c>
      <c r="B19" s="4" t="s">
        <v>63</v>
      </c>
      <c r="C19" s="6">
        <v>350</v>
      </c>
      <c r="D19" s="6" t="s">
        <v>25</v>
      </c>
      <c r="E19" s="13">
        <v>2.5</v>
      </c>
    </row>
    <row r="21" spans="1:5" ht="24" customHeight="1" x14ac:dyDescent="0.25">
      <c r="A21" s="28" t="s">
        <v>64</v>
      </c>
      <c r="B21" s="29"/>
      <c r="C21" s="29"/>
      <c r="D21" s="29"/>
      <c r="E21" s="29"/>
    </row>
    <row r="22" spans="1:5" ht="38.25" x14ac:dyDescent="0.25">
      <c r="A22" s="5" t="s">
        <v>65</v>
      </c>
      <c r="B22" s="5" t="s">
        <v>66</v>
      </c>
      <c r="C22" s="5" t="s">
        <v>67</v>
      </c>
      <c r="D22" s="5" t="s">
        <v>68</v>
      </c>
      <c r="E22" s="5" t="s">
        <v>69</v>
      </c>
    </row>
    <row r="23" spans="1:5" ht="42" customHeight="1" x14ac:dyDescent="0.25">
      <c r="A23" s="4" t="s">
        <v>70</v>
      </c>
      <c r="B23" s="4" t="s">
        <v>71</v>
      </c>
      <c r="C23" s="6" t="s">
        <v>72</v>
      </c>
      <c r="D23" s="6" t="s">
        <v>73</v>
      </c>
      <c r="E23" s="13">
        <v>1</v>
      </c>
    </row>
    <row r="24" spans="1:5" ht="42" customHeight="1" x14ac:dyDescent="0.25">
      <c r="A24" s="8" t="s">
        <v>74</v>
      </c>
      <c r="B24" s="8" t="s">
        <v>75</v>
      </c>
      <c r="C24" s="9" t="s">
        <v>76</v>
      </c>
      <c r="D24" s="9" t="s">
        <v>77</v>
      </c>
      <c r="E24" s="14">
        <v>1.2</v>
      </c>
    </row>
    <row r="25" spans="1:5" ht="42" customHeight="1" x14ac:dyDescent="0.25">
      <c r="A25" s="4" t="s">
        <v>78</v>
      </c>
      <c r="B25" s="4" t="s">
        <v>79</v>
      </c>
      <c r="C25" s="6" t="s">
        <v>80</v>
      </c>
      <c r="D25" s="6" t="s">
        <v>81</v>
      </c>
      <c r="E25" s="13">
        <v>1.4</v>
      </c>
    </row>
    <row r="26" spans="1:5" ht="42" customHeight="1" x14ac:dyDescent="0.25">
      <c r="A26" s="8" t="s">
        <v>82</v>
      </c>
      <c r="B26" s="8" t="s">
        <v>83</v>
      </c>
      <c r="C26" s="9" t="s">
        <v>84</v>
      </c>
      <c r="D26" s="9" t="s">
        <v>85</v>
      </c>
      <c r="E26" s="14">
        <v>1.7</v>
      </c>
    </row>
    <row r="28" spans="1:5" ht="31.9" customHeight="1" x14ac:dyDescent="0.25">
      <c r="A28" s="35" t="s">
        <v>86</v>
      </c>
      <c r="B28" s="24"/>
      <c r="C28" s="24"/>
      <c r="D28" s="24"/>
      <c r="E28" s="24"/>
    </row>
    <row r="30" spans="1:5" ht="24" customHeight="1" x14ac:dyDescent="0.25">
      <c r="A30" s="28" t="s">
        <v>130</v>
      </c>
      <c r="B30" s="29"/>
      <c r="C30" s="29"/>
      <c r="D30" s="29"/>
      <c r="E30" s="29"/>
    </row>
    <row r="31" spans="1:5" ht="30" customHeight="1" x14ac:dyDescent="0.25">
      <c r="A31" s="5" t="s">
        <v>131</v>
      </c>
      <c r="B31" s="5" t="s">
        <v>50</v>
      </c>
      <c r="C31" s="5" t="s">
        <v>132</v>
      </c>
      <c r="D31" s="5" t="s">
        <v>133</v>
      </c>
      <c r="E31" s="5" t="s">
        <v>134</v>
      </c>
    </row>
    <row r="32" spans="1:5" x14ac:dyDescent="0.25">
      <c r="A32" s="4" t="s">
        <v>135</v>
      </c>
      <c r="B32" s="4" t="s">
        <v>136</v>
      </c>
      <c r="C32" s="6">
        <v>1</v>
      </c>
      <c r="D32" s="6">
        <v>9</v>
      </c>
      <c r="E32" s="47">
        <v>0</v>
      </c>
    </row>
    <row r="33" spans="1:5" x14ac:dyDescent="0.25">
      <c r="A33" s="8" t="s">
        <v>137</v>
      </c>
      <c r="B33" s="8" t="s">
        <v>138</v>
      </c>
      <c r="C33" s="9">
        <v>10</v>
      </c>
      <c r="D33" s="9">
        <v>14</v>
      </c>
      <c r="E33" s="48">
        <v>0.1</v>
      </c>
    </row>
    <row r="34" spans="1:5" x14ac:dyDescent="0.25">
      <c r="A34" s="4" t="s">
        <v>139</v>
      </c>
      <c r="B34" s="4" t="s">
        <v>140</v>
      </c>
      <c r="C34" s="6">
        <v>15</v>
      </c>
      <c r="D34" s="6" t="s">
        <v>25</v>
      </c>
      <c r="E34" s="47">
        <v>0.2</v>
      </c>
    </row>
    <row r="36" spans="1:5" x14ac:dyDescent="0.25">
      <c r="A36" s="30" t="s">
        <v>38</v>
      </c>
      <c r="B36" s="31"/>
      <c r="C36" s="31"/>
      <c r="D36" s="31"/>
      <c r="E36" s="31"/>
    </row>
    <row r="37" spans="1:5" x14ac:dyDescent="0.25">
      <c r="A37" s="30" t="s">
        <v>39</v>
      </c>
      <c r="B37" s="31"/>
      <c r="C37" s="31"/>
      <c r="D37" s="31"/>
      <c r="E37" s="31"/>
    </row>
  </sheetData>
  <mergeCells count="14">
    <mergeCell ref="A9:E9"/>
    <mergeCell ref="B3:E3"/>
    <mergeCell ref="B2:E2"/>
    <mergeCell ref="A8:E8"/>
    <mergeCell ref="A13:E13"/>
    <mergeCell ref="A6:E6"/>
    <mergeCell ref="A21:E21"/>
    <mergeCell ref="A7:E7"/>
    <mergeCell ref="A10:E10"/>
    <mergeCell ref="A28:E28"/>
    <mergeCell ref="A11:E11"/>
    <mergeCell ref="A30:E30"/>
    <mergeCell ref="A36:E36"/>
    <mergeCell ref="A37:E37"/>
  </mergeCells>
  <pageMargins left="0.75" right="0.75" top="1" bottom="1" header="0.5" footer="0.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2B705"/>
    <pageSetUpPr fitToPage="1"/>
  </sheetPr>
  <dimension ref="A1:D28"/>
  <sheetViews>
    <sheetView showGridLines="0" workbookViewId="0">
      <selection activeCell="G7" sqref="G7"/>
    </sheetView>
  </sheetViews>
  <sheetFormatPr defaultRowHeight="15" x14ac:dyDescent="0.25"/>
  <cols>
    <col min="1" max="1" width="50" customWidth="1"/>
    <col min="2" max="4" width="22" customWidth="1"/>
  </cols>
  <sheetData>
    <row r="1" spans="1:4" ht="13.9" customHeight="1" x14ac:dyDescent="0.25">
      <c r="A1" s="1"/>
      <c r="B1" s="1"/>
      <c r="C1" s="1"/>
      <c r="D1" s="1"/>
    </row>
    <row r="2" spans="1:4" ht="34.15" customHeight="1" x14ac:dyDescent="0.25">
      <c r="A2" s="1"/>
      <c r="B2" s="32" t="s">
        <v>87</v>
      </c>
      <c r="C2" s="24"/>
      <c r="D2" s="24"/>
    </row>
    <row r="3" spans="1:4" ht="22.15" customHeight="1" x14ac:dyDescent="0.25">
      <c r="A3" s="1"/>
      <c r="B3" s="33" t="s">
        <v>88</v>
      </c>
      <c r="C3" s="24"/>
      <c r="D3" s="24"/>
    </row>
    <row r="4" spans="1:4" ht="4.1500000000000004" customHeight="1" x14ac:dyDescent="0.25">
      <c r="A4" s="2"/>
      <c r="B4" s="2"/>
      <c r="C4" s="2"/>
      <c r="D4" s="2"/>
    </row>
    <row r="6" spans="1:4" ht="24" customHeight="1" x14ac:dyDescent="0.25">
      <c r="A6" s="28" t="s">
        <v>89</v>
      </c>
      <c r="B6" s="29"/>
      <c r="C6" s="29"/>
      <c r="D6" s="29"/>
    </row>
    <row r="7" spans="1:4" x14ac:dyDescent="0.25">
      <c r="A7" s="3" t="s">
        <v>90</v>
      </c>
      <c r="B7" s="15" t="s">
        <v>91</v>
      </c>
      <c r="C7" s="40"/>
      <c r="D7" s="24"/>
    </row>
    <row r="8" spans="1:4" ht="24" customHeight="1" x14ac:dyDescent="0.25">
      <c r="A8" s="3" t="s">
        <v>92</v>
      </c>
      <c r="B8" s="16">
        <v>5</v>
      </c>
      <c r="C8" s="40" t="s">
        <v>93</v>
      </c>
      <c r="D8" s="24"/>
    </row>
    <row r="9" spans="1:4" ht="24.75" customHeight="1" x14ac:dyDescent="0.25">
      <c r="A9" s="3" t="s">
        <v>94</v>
      </c>
      <c r="B9" s="15" t="s">
        <v>70</v>
      </c>
      <c r="C9" s="40" t="s">
        <v>95</v>
      </c>
      <c r="D9" s="24"/>
    </row>
    <row r="10" spans="1:4" ht="25.15" customHeight="1" x14ac:dyDescent="0.25">
      <c r="A10" s="3" t="s">
        <v>96</v>
      </c>
      <c r="B10" s="17">
        <v>1</v>
      </c>
      <c r="C10" s="40" t="s">
        <v>97</v>
      </c>
      <c r="D10" s="24"/>
    </row>
    <row r="12" spans="1:4" ht="24" customHeight="1" x14ac:dyDescent="0.25">
      <c r="A12" s="28" t="s">
        <v>98</v>
      </c>
      <c r="B12" s="29"/>
      <c r="C12" s="29"/>
      <c r="D12" s="29"/>
    </row>
    <row r="13" spans="1:4" ht="30" customHeight="1" x14ac:dyDescent="0.25">
      <c r="A13" s="5" t="s">
        <v>99</v>
      </c>
      <c r="B13" s="37" t="s">
        <v>100</v>
      </c>
      <c r="C13" s="38"/>
      <c r="D13" s="39"/>
    </row>
    <row r="14" spans="1:4" x14ac:dyDescent="0.25">
      <c r="A14" s="4" t="s">
        <v>101</v>
      </c>
      <c r="B14" s="36">
        <v>240000</v>
      </c>
      <c r="C14" s="27"/>
      <c r="D14" s="27"/>
    </row>
    <row r="15" spans="1:4" x14ac:dyDescent="0.25">
      <c r="A15" s="4" t="s">
        <v>102</v>
      </c>
      <c r="B15" s="43">
        <f>LOOKUP(B8,'Методика расчёта'!$C$15:$C$19,'Методика расчёта'!$E$15:$E$19)</f>
        <v>1</v>
      </c>
      <c r="C15" s="27"/>
      <c r="D15" s="27"/>
    </row>
    <row r="16" spans="1:4" x14ac:dyDescent="0.25">
      <c r="A16" s="4" t="s">
        <v>103</v>
      </c>
      <c r="B16" s="43">
        <f>VLOOKUP(B9,'Методика расчёта'!$A$23:$E$26,5,FALSE)</f>
        <v>1</v>
      </c>
      <c r="C16" s="27"/>
      <c r="D16" s="27"/>
    </row>
    <row r="17" spans="1:4" x14ac:dyDescent="0.25">
      <c r="A17" s="4" t="s">
        <v>104</v>
      </c>
      <c r="B17" s="36">
        <f>B14*B15*B16</f>
        <v>240000</v>
      </c>
      <c r="C17" s="27"/>
      <c r="D17" s="27"/>
    </row>
    <row r="18" spans="1:4" x14ac:dyDescent="0.25">
      <c r="A18" s="4" t="s">
        <v>141</v>
      </c>
      <c r="B18" s="42">
        <f>B10</f>
        <v>1</v>
      </c>
      <c r="C18" s="27"/>
      <c r="D18" s="27"/>
    </row>
    <row r="19" spans="1:4" x14ac:dyDescent="0.25">
      <c r="A19" s="4" t="s">
        <v>142</v>
      </c>
      <c r="B19" s="36">
        <f>B17*B18</f>
        <v>240000</v>
      </c>
      <c r="C19" s="27"/>
      <c r="D19" s="27"/>
    </row>
    <row r="20" spans="1:4" x14ac:dyDescent="0.25">
      <c r="A20" s="4" t="s">
        <v>143</v>
      </c>
      <c r="B20" s="49">
        <f>LOOKUP(B10,'Методика расчёта'!$C$32:$C$34,'Методика расчёта'!$E$32:$E$34)</f>
        <v>0</v>
      </c>
      <c r="C20" s="27"/>
      <c r="D20" s="27"/>
    </row>
    <row r="21" spans="1:4" ht="30" customHeight="1" x14ac:dyDescent="0.25">
      <c r="A21" s="18" t="s">
        <v>107</v>
      </c>
      <c r="B21" s="44">
        <f>B19*(1-B20)</f>
        <v>240000</v>
      </c>
      <c r="C21" s="45"/>
      <c r="D21" s="45"/>
    </row>
    <row r="22" spans="1:4" x14ac:dyDescent="0.25">
      <c r="A22" s="4" t="s">
        <v>108</v>
      </c>
      <c r="B22" s="36">
        <f>B21/MAX(1,B10)</f>
        <v>240000</v>
      </c>
      <c r="C22" s="27"/>
      <c r="D22" s="27"/>
    </row>
    <row r="23" spans="1:4" x14ac:dyDescent="0.25">
      <c r="A23" s="4" t="s">
        <v>109</v>
      </c>
      <c r="B23" s="41" t="s">
        <v>110</v>
      </c>
      <c r="C23" s="27"/>
      <c r="D23" s="27"/>
    </row>
    <row r="25" spans="1:4" ht="30" customHeight="1" x14ac:dyDescent="0.25">
      <c r="A25" s="35" t="s">
        <v>111</v>
      </c>
      <c r="B25" s="24"/>
      <c r="C25" s="24"/>
      <c r="D25" s="24"/>
    </row>
    <row r="27" spans="1:4" x14ac:dyDescent="0.25">
      <c r="A27" s="30" t="s">
        <v>38</v>
      </c>
      <c r="B27" s="31"/>
      <c r="C27" s="31"/>
      <c r="D27" s="31"/>
    </row>
    <row r="28" spans="1:4" x14ac:dyDescent="0.25">
      <c r="A28" s="30" t="s">
        <v>39</v>
      </c>
      <c r="B28" s="31"/>
      <c r="C28" s="31"/>
      <c r="D28" s="31"/>
    </row>
  </sheetData>
  <mergeCells count="22">
    <mergeCell ref="B2:D2"/>
    <mergeCell ref="B3:D3"/>
    <mergeCell ref="C7:D7"/>
    <mergeCell ref="A12:D12"/>
    <mergeCell ref="C9:D9"/>
    <mergeCell ref="B15:D15"/>
    <mergeCell ref="A6:D6"/>
    <mergeCell ref="B16:D16"/>
    <mergeCell ref="C8:D8"/>
    <mergeCell ref="B14:D14"/>
    <mergeCell ref="B13:D13"/>
    <mergeCell ref="C10:D10"/>
    <mergeCell ref="B17:D17"/>
    <mergeCell ref="B18:D18"/>
    <mergeCell ref="B19:D19"/>
    <mergeCell ref="B20:D20"/>
    <mergeCell ref="B21:D21"/>
    <mergeCell ref="B22:D22"/>
    <mergeCell ref="B23:D23"/>
    <mergeCell ref="A25:D25"/>
    <mergeCell ref="A27:D27"/>
    <mergeCell ref="A28:D28"/>
  </mergeCells>
  <dataValidations count="1">
    <dataValidation type="whole" operator="greaterThanOrEqual" sqref="B10" xr:uid="{00000000-0002-0000-0200-000001000000}">
      <formula1>1</formula1>
    </dataValidation>
  </dataValidations>
  <pageMargins left="0.75" right="0.75" top="1" bottom="1" header="0.5" footer="0.5"/>
  <pageSetup fitToHeight="0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'Методика расчёта'!$A$23:$A$26</xm:f>
          </x14:formula1>
          <xm:sqref>B9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E63B0"/>
    <pageSetUpPr fitToPage="1"/>
  </sheetPr>
  <dimension ref="A1:H24"/>
  <sheetViews>
    <sheetView showGridLines="0" tabSelected="1" workbookViewId="0">
      <selection activeCell="A19" sqref="A19:H19"/>
    </sheetView>
  </sheetViews>
  <sheetFormatPr defaultRowHeight="15" x14ac:dyDescent="0.25"/>
  <cols>
    <col min="1" max="1" width="30" customWidth="1"/>
    <col min="2" max="2" width="13" customWidth="1"/>
    <col min="3" max="3" width="18" customWidth="1"/>
    <col min="4" max="5" width="9" customWidth="1"/>
    <col min="6" max="6" width="12" customWidth="1"/>
    <col min="7" max="8" width="20" customWidth="1"/>
  </cols>
  <sheetData>
    <row r="1" spans="1:8" ht="13.9" customHeight="1" x14ac:dyDescent="0.25">
      <c r="A1" s="1"/>
      <c r="B1" s="1"/>
      <c r="C1" s="1"/>
      <c r="D1" s="1"/>
      <c r="E1" s="1"/>
      <c r="F1" s="1"/>
      <c r="G1" s="1"/>
      <c r="H1" s="1"/>
    </row>
    <row r="2" spans="1:8" ht="34.15" customHeight="1" x14ac:dyDescent="0.25">
      <c r="A2" s="1"/>
      <c r="B2" s="32" t="s">
        <v>112</v>
      </c>
      <c r="C2" s="24"/>
      <c r="D2" s="24"/>
      <c r="E2" s="24"/>
      <c r="F2" s="24"/>
      <c r="G2" s="24"/>
      <c r="H2" s="24"/>
    </row>
    <row r="3" spans="1:8" ht="22.15" customHeight="1" x14ac:dyDescent="0.25">
      <c r="A3" s="1"/>
      <c r="B3" s="33" t="s">
        <v>113</v>
      </c>
      <c r="C3" s="24"/>
      <c r="D3" s="24"/>
      <c r="E3" s="24"/>
      <c r="F3" s="24"/>
      <c r="G3" s="24"/>
      <c r="H3" s="24"/>
    </row>
    <row r="4" spans="1:8" ht="4.1500000000000004" customHeight="1" x14ac:dyDescent="0.25">
      <c r="A4" s="2"/>
      <c r="B4" s="2"/>
      <c r="C4" s="2"/>
      <c r="D4" s="2"/>
      <c r="E4" s="2"/>
      <c r="F4" s="2"/>
      <c r="G4" s="2"/>
      <c r="H4" s="2"/>
    </row>
    <row r="6" spans="1:8" ht="24" customHeight="1" x14ac:dyDescent="0.25">
      <c r="A6" s="28" t="s">
        <v>114</v>
      </c>
      <c r="B6" s="29"/>
      <c r="C6" s="29"/>
      <c r="D6" s="29"/>
      <c r="E6" s="29"/>
      <c r="F6" s="29"/>
      <c r="G6" s="29"/>
      <c r="H6" s="29"/>
    </row>
    <row r="7" spans="1:8" ht="30" customHeight="1" x14ac:dyDescent="0.25">
      <c r="A7" s="5" t="s">
        <v>115</v>
      </c>
      <c r="B7" s="5" t="s">
        <v>116</v>
      </c>
      <c r="C7" s="5" t="s">
        <v>65</v>
      </c>
      <c r="D7" s="5" t="s">
        <v>53</v>
      </c>
      <c r="E7" s="5" t="s">
        <v>69</v>
      </c>
      <c r="F7" s="5" t="s">
        <v>117</v>
      </c>
      <c r="G7" s="5" t="s">
        <v>118</v>
      </c>
      <c r="H7" s="5" t="s">
        <v>119</v>
      </c>
    </row>
    <row r="8" spans="1:8" ht="25.9" customHeight="1" x14ac:dyDescent="0.25">
      <c r="A8" s="4" t="s">
        <v>120</v>
      </c>
      <c r="B8" s="19">
        <v>35</v>
      </c>
      <c r="C8" s="6" t="s">
        <v>70</v>
      </c>
      <c r="D8" s="13">
        <f>LOOKUP(B8,'Методика расчёта'!$C$15:$C$19,'Методика расчёта'!$E$15:$E$19)</f>
        <v>1</v>
      </c>
      <c r="E8" s="13">
        <f>VLOOKUP(C8,'Методика расчёта'!$A$23:$E$26,5,FALSE)</f>
        <v>1</v>
      </c>
      <c r="F8" s="19">
        <v>5</v>
      </c>
      <c r="G8" s="47">
        <f>LOOKUP(F8,'Методика расчёта'!$C$32:$C$34,'Методика расчёта'!$E$32:$E$34)</f>
        <v>0</v>
      </c>
      <c r="H8" s="20">
        <f>240000*D8*E8*F8*(1-G8)</f>
        <v>1200000</v>
      </c>
    </row>
    <row r="9" spans="1:8" ht="25.9" customHeight="1" x14ac:dyDescent="0.25">
      <c r="A9" s="8" t="s">
        <v>57</v>
      </c>
      <c r="B9" s="21">
        <v>80</v>
      </c>
      <c r="C9" s="9" t="s">
        <v>74</v>
      </c>
      <c r="D9" s="14">
        <f>LOOKUP(B9,'Методика расчёта'!$C$15:$C$19,'Методика расчёта'!$E$15:$E$19)</f>
        <v>1.3</v>
      </c>
      <c r="E9" s="14">
        <f>VLOOKUP(C9,'Методика расчёта'!$A$23:$E$26,5,FALSE)</f>
        <v>1.2</v>
      </c>
      <c r="F9" s="21">
        <v>5</v>
      </c>
      <c r="G9" s="48">
        <f>LOOKUP(F9,'Методика расчёта'!$C$32:$C$34,'Методика расчёта'!$E$32:$E$34)</f>
        <v>0</v>
      </c>
      <c r="H9" s="22">
        <f>240000*D9*E9*F9*(1-G9)</f>
        <v>1872000</v>
      </c>
    </row>
    <row r="10" spans="1:8" ht="25.9" customHeight="1" x14ac:dyDescent="0.25">
      <c r="A10" s="4" t="s">
        <v>59</v>
      </c>
      <c r="B10" s="19">
        <v>150</v>
      </c>
      <c r="C10" s="6" t="s">
        <v>78</v>
      </c>
      <c r="D10" s="13">
        <f>LOOKUP(B10,'Методика расчёта'!$C$15:$C$19,'Методика расчёта'!$E$15:$E$19)</f>
        <v>1.6</v>
      </c>
      <c r="E10" s="13">
        <f>VLOOKUP(C10,'Методика расчёта'!$A$23:$E$26,5,FALSE)</f>
        <v>1.4</v>
      </c>
      <c r="F10" s="19">
        <v>8</v>
      </c>
      <c r="G10" s="47">
        <f>LOOKUP(F10,'Методика расчёта'!$C$32:$C$34,'Методика расчёта'!$E$32:$E$34)</f>
        <v>0</v>
      </c>
      <c r="H10" s="20">
        <f>240000*D10*E10*F10*(1-G10)</f>
        <v>4300800</v>
      </c>
    </row>
    <row r="11" spans="1:8" ht="25.9" customHeight="1" x14ac:dyDescent="0.25">
      <c r="A11" s="8" t="s">
        <v>61</v>
      </c>
      <c r="B11" s="21">
        <v>280</v>
      </c>
      <c r="C11" s="9" t="s">
        <v>78</v>
      </c>
      <c r="D11" s="14">
        <f>LOOKUP(B11,'Методика расчёта'!$C$15:$C$19,'Методика расчёта'!$E$15:$E$19)</f>
        <v>2</v>
      </c>
      <c r="E11" s="14">
        <f>VLOOKUP(C11,'Методика расчёта'!$A$23:$E$26,5,FALSE)</f>
        <v>1.4</v>
      </c>
      <c r="F11" s="21">
        <v>10</v>
      </c>
      <c r="G11" s="48">
        <f>LOOKUP(F11,'Методика расчёта'!$C$32:$C$34,'Методика расчёта'!$E$32:$E$34)</f>
        <v>0.1</v>
      </c>
      <c r="H11" s="22">
        <f>240000*D11*E11*F11*(1-G11)</f>
        <v>6048000</v>
      </c>
    </row>
    <row r="12" spans="1:8" ht="25.9" customHeight="1" x14ac:dyDescent="0.25">
      <c r="A12" s="4" t="s">
        <v>121</v>
      </c>
      <c r="B12" s="19">
        <v>420</v>
      </c>
      <c r="C12" s="6" t="s">
        <v>82</v>
      </c>
      <c r="D12" s="13">
        <f>LOOKUP(B12,'Методика расчёта'!$C$15:$C$19,'Методика расчёта'!$E$15:$E$19)</f>
        <v>2.5</v>
      </c>
      <c r="E12" s="13">
        <f>VLOOKUP(C12,'Методика расчёта'!$A$23:$E$26,5,FALSE)</f>
        <v>1.7</v>
      </c>
      <c r="F12" s="19">
        <v>15</v>
      </c>
      <c r="G12" s="47">
        <f>LOOKUP(F12,'Методика расчёта'!$C$32:$C$34,'Методика расчёта'!$E$32:$E$34)</f>
        <v>0.2</v>
      </c>
      <c r="H12" s="20">
        <f>240000*D12*E12*F12*(1-G12)</f>
        <v>12240000</v>
      </c>
    </row>
    <row r="14" spans="1:8" ht="24" customHeight="1" x14ac:dyDescent="0.25">
      <c r="A14" s="28" t="s">
        <v>122</v>
      </c>
      <c r="B14" s="29"/>
      <c r="C14" s="29"/>
      <c r="D14" s="29"/>
      <c r="E14" s="29"/>
      <c r="F14" s="29"/>
      <c r="G14" s="29"/>
      <c r="H14" s="29"/>
    </row>
    <row r="15" spans="1:8" ht="30" customHeight="1" x14ac:dyDescent="0.25">
      <c r="A15" s="37" t="s">
        <v>123</v>
      </c>
      <c r="B15" s="38"/>
      <c r="C15" s="38"/>
      <c r="D15" s="38"/>
      <c r="E15" s="39"/>
      <c r="F15" s="5" t="s">
        <v>117</v>
      </c>
      <c r="G15" s="5" t="s">
        <v>124</v>
      </c>
      <c r="H15" s="5" t="s">
        <v>119</v>
      </c>
    </row>
    <row r="16" spans="1:8" ht="22.15" customHeight="1" x14ac:dyDescent="0.25">
      <c r="A16" s="26" t="s">
        <v>125</v>
      </c>
      <c r="B16" s="38"/>
      <c r="C16" s="38"/>
      <c r="D16" s="38"/>
      <c r="E16" s="39"/>
      <c r="F16" s="19">
        <v>1</v>
      </c>
      <c r="G16" s="7">
        <f>H16/F16</f>
        <v>240000</v>
      </c>
      <c r="H16" s="7">
        <f>F16*240000*(1-LOOKUP(F16,'Методика расчёта'!$C$32:$C$34,'Методика расчёта'!$E$32:$E$34))</f>
        <v>240000</v>
      </c>
    </row>
    <row r="17" spans="1:8" ht="22.15" customHeight="1" x14ac:dyDescent="0.25">
      <c r="A17" s="46" t="s">
        <v>126</v>
      </c>
      <c r="B17" s="38"/>
      <c r="C17" s="38"/>
      <c r="D17" s="38"/>
      <c r="E17" s="39"/>
      <c r="F17" s="21">
        <v>5</v>
      </c>
      <c r="G17" s="10">
        <f>H17/F17</f>
        <v>240000</v>
      </c>
      <c r="H17" s="10">
        <f>F17*240000*(1-LOOKUP(F17,'Методика расчёта'!$C$32:$C$34,'Методика расчёта'!$E$32:$E$34))</f>
        <v>1200000</v>
      </c>
    </row>
    <row r="18" spans="1:8" ht="22.15" customHeight="1" x14ac:dyDescent="0.25">
      <c r="A18" s="26" t="s">
        <v>144</v>
      </c>
      <c r="B18" s="38"/>
      <c r="C18" s="38"/>
      <c r="D18" s="38"/>
      <c r="E18" s="39"/>
      <c r="F18" s="19">
        <v>10</v>
      </c>
      <c r="G18" s="7">
        <f>H18/F18</f>
        <v>216000</v>
      </c>
      <c r="H18" s="7">
        <f>F18*240000*(1-LOOKUP(F18,'Методика расчёта'!$C$32:$C$34,'Методика расчёта'!$E$32:$E$34))</f>
        <v>2160000</v>
      </c>
    </row>
    <row r="19" spans="1:8" ht="22.15" customHeight="1" x14ac:dyDescent="0.25">
      <c r="A19" s="46" t="s">
        <v>145</v>
      </c>
      <c r="B19" s="38"/>
      <c r="C19" s="38"/>
      <c r="D19" s="38"/>
      <c r="E19" s="39"/>
      <c r="F19" s="21">
        <v>15</v>
      </c>
      <c r="G19" s="10">
        <f>H19/F19</f>
        <v>192000</v>
      </c>
      <c r="H19" s="10">
        <f>F19*240000*(1-LOOKUP(F19,'Методика расчёта'!$C$32:$C$34,'Методика расчёта'!$E$32:$E$34))</f>
        <v>2880000</v>
      </c>
    </row>
    <row r="21" spans="1:8" x14ac:dyDescent="0.25">
      <c r="A21" s="35" t="s">
        <v>127</v>
      </c>
      <c r="B21" s="24"/>
      <c r="C21" s="24"/>
      <c r="D21" s="24"/>
      <c r="E21" s="24"/>
      <c r="F21" s="24"/>
      <c r="G21" s="24"/>
      <c r="H21" s="24"/>
    </row>
    <row r="23" spans="1:8" x14ac:dyDescent="0.25">
      <c r="A23" s="30" t="s">
        <v>38</v>
      </c>
      <c r="B23" s="31"/>
      <c r="C23" s="31"/>
      <c r="D23" s="31"/>
      <c r="E23" s="31"/>
      <c r="F23" s="31"/>
      <c r="G23" s="31"/>
      <c r="H23" s="31"/>
    </row>
    <row r="24" spans="1:8" x14ac:dyDescent="0.25">
      <c r="A24" s="30" t="s">
        <v>39</v>
      </c>
      <c r="B24" s="31"/>
      <c r="C24" s="31"/>
      <c r="D24" s="31"/>
      <c r="E24" s="31"/>
      <c r="F24" s="31"/>
      <c r="G24" s="31"/>
      <c r="H24" s="31"/>
    </row>
  </sheetData>
  <mergeCells count="12">
    <mergeCell ref="A16:E16"/>
    <mergeCell ref="A15:E15"/>
    <mergeCell ref="B2:H2"/>
    <mergeCell ref="A14:H14"/>
    <mergeCell ref="B3:H3"/>
    <mergeCell ref="A17:E17"/>
    <mergeCell ref="A6:H6"/>
    <mergeCell ref="A18:E18"/>
    <mergeCell ref="A19:E19"/>
    <mergeCell ref="A21:H21"/>
    <mergeCell ref="A23:H23"/>
    <mergeCell ref="A24:H24"/>
  </mergeCells>
  <pageMargins left="0.75" right="0.75" top="1" bottom="1" header="0.5" footer="0.5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Прайс-лист</vt:lpstr>
      <vt:lpstr>Методика расчёта</vt:lpstr>
      <vt:lpstr>Калькулятор</vt:lpstr>
      <vt:lpstr>Примеры расчёта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Прайс-лист и расчёт стоимости ПК «ПВ-Система»</dc:title>
  <dc:creator>ООО «ПВ-Система»</dc:creator>
  <cp:lastModifiedBy>SDS</cp:lastModifiedBy>
  <dcterms:created xsi:type="dcterms:W3CDTF">2026-10-10T19:28:15Z</dcterms:created>
  <dcterms:modified xsi:type="dcterms:W3CDTF">2026-10-26T14:15:17Z</dcterms:modified>
</cp:coreProperties>
</file>